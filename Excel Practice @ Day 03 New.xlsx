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kkutt\"/>
    </mc:Choice>
  </mc:AlternateContent>
  <xr:revisionPtr revIDLastSave="0" documentId="8_{769C313E-F6E0-4CD2-8D41-377174100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</workbook>
</file>

<file path=xl/calcChain.xml><?xml version="1.0" encoding="utf-8"?>
<calcChain xmlns="http://schemas.openxmlformats.org/spreadsheetml/2006/main">
  <c r="V10" i="1" l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4" i="1"/>
  <c r="V5" i="1"/>
  <c r="V6" i="1"/>
  <c r="V7" i="1"/>
  <c r="V8" i="1"/>
  <c r="V9" i="1"/>
  <c r="V3" i="1"/>
  <c r="U3" i="1"/>
  <c r="U4" i="1"/>
  <c r="U5" i="1"/>
  <c r="U6" i="1"/>
  <c r="U7" i="1"/>
  <c r="U8" i="1"/>
  <c r="U9" i="1"/>
  <c r="U10" i="1"/>
  <c r="U11" i="1"/>
  <c r="U12" i="1"/>
  <c r="U13" i="1"/>
  <c r="U14" i="1"/>
  <c r="U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R3" i="1"/>
  <c r="R4" i="1"/>
  <c r="R5" i="1"/>
  <c r="R6" i="1"/>
  <c r="R7" i="1"/>
  <c r="R8" i="1"/>
  <c r="R9" i="1"/>
  <c r="R10" i="1"/>
  <c r="R11" i="1"/>
  <c r="R12" i="1"/>
  <c r="R2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2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16" i="1"/>
  <c r="Q17" i="1"/>
  <c r="Q18" i="1"/>
  <c r="Q19" i="1"/>
  <c r="Q20" i="1"/>
  <c r="Q21" i="1"/>
  <c r="Q22" i="1"/>
  <c r="Q2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2" i="1"/>
  <c r="H43" i="1"/>
  <c r="H63" i="1"/>
  <c r="H61" i="1"/>
  <c r="H60" i="1"/>
  <c r="H58" i="1"/>
  <c r="H57" i="1"/>
  <c r="H55" i="1"/>
  <c r="H54" i="1"/>
  <c r="H52" i="1"/>
  <c r="H51" i="1"/>
  <c r="J49" i="1"/>
  <c r="H50" i="1"/>
  <c r="I49" i="1"/>
  <c r="I48" i="1"/>
  <c r="H49" i="1"/>
  <c r="H48" i="1"/>
  <c r="H47" i="1"/>
</calcChain>
</file>

<file path=xl/sharedStrings.xml><?xml version="1.0" encoding="utf-8"?>
<sst xmlns="http://schemas.openxmlformats.org/spreadsheetml/2006/main" count="465" uniqueCount="231">
  <si>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</si>
  <si>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</si>
  <si>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</si>
  <si>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</si>
  <si>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</si>
  <si>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</si>
  <si>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</si>
  <si>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</si>
  <si>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</si>
  <si>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</si>
  <si>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</si>
  <si>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</si>
  <si>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</si>
  <si>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</si>
  <si>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</si>
  <si>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</si>
  <si>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</si>
  <si>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</si>
  <si>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</si>
  <si>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</si>
  <si>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</si>
  <si>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</si>
  <si>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</si>
  <si>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</si>
  <si>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</si>
  <si>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</si>
  <si>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</si>
  <si>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</si>
  <si>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</si>
  <si>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</si>
  <si>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</si>
  <si>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</si>
  <si>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</si>
  <si>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</si>
  <si>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</si>
  <si>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</si>
  <si>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</si>
  <si>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</si>
  <si>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</si>
  <si>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</si>
  <si>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</si>
  <si>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</si>
  <si>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</si>
  <si>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</si>
  <si>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</si>
  <si>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</si>
  <si>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</si>
  <si>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</si>
  <si>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</si>
  <si>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</si>
  <si>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</si>
  <si>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</si>
  <si>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</si>
  <si>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</si>
  <si>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</si>
  <si>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</si>
  <si>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</si>
  <si>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</si>
  <si>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</si>
  <si>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</si>
  <si>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</si>
  <si>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</si>
  <si>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</si>
  <si>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</si>
  <si>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</si>
  <si>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</si>
  <si>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</si>
  <si>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</si>
  <si>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</si>
  <si>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</si>
  <si>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</si>
  <si>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</si>
  <si>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</si>
  <si>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</si>
  <si>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</si>
  <si>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</si>
  <si>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</si>
  <si>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</si>
  <si>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</si>
  <si>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</si>
  <si>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</si>
  <si>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</si>
  <si>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</si>
  <si>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</si>
  <si>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</si>
  <si>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</si>
  <si>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</si>
  <si>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</si>
  <si>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</si>
  <si>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</si>
  <si>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</si>
  <si>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</si>
  <si>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</si>
  <si>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</si>
  <si>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</si>
  <si>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</si>
  <si>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</si>
  <si>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</si>
  <si>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</si>
  <si>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</si>
  <si>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</si>
  <si>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</si>
  <si>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</si>
  <si>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</si>
  <si>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</si>
  <si>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</si>
  <si>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</si>
  <si>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</si>
  <si>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</si>
  <si>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</si>
  <si>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</si>
  <si>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</si>
  <si>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</si>
  <si>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</si>
  <si>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</si>
  <si>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</si>
  <si>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</si>
  <si>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</si>
  <si>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</si>
  <si>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</si>
  <si>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</si>
  <si>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</si>
  <si>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</si>
  <si>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</si>
  <si>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</si>
  <si>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</si>
  <si>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</si>
  <si>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</si>
  <si>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</si>
  <si>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</si>
  <si>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</si>
  <si>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</si>
  <si>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</si>
  <si>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</si>
  <si>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</si>
  <si>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</si>
  <si>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</si>
  <si>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</si>
  <si>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</si>
  <si>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</si>
  <si>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</si>
  <si>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</si>
  <si>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</si>
  <si>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</si>
  <si>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</si>
  <si>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</si>
  <si>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</si>
  <si>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</si>
  <si>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</si>
  <si>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</si>
  <si>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</si>
  <si>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</si>
  <si>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</si>
  <si>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</si>
  <si>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</si>
  <si>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</si>
  <si>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</si>
  <si>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</si>
  <si>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</si>
  <si>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</si>
  <si>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</si>
  <si>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</si>
  <si>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</si>
  <si>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</si>
  <si>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</si>
  <si>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</si>
  <si>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</si>
  <si>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</si>
  <si>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</si>
  <si>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</si>
  <si>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</si>
  <si>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</si>
  <si>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</si>
  <si>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</si>
  <si>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</si>
  <si>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</si>
  <si>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</si>
  <si>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</si>
  <si>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</si>
  <si>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</si>
  <si>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</si>
  <si>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</si>
  <si>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</si>
  <si>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</si>
  <si>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</si>
  <si>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</si>
  <si>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</si>
  <si>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</si>
  <si>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</si>
  <si>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</si>
  <si>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</si>
  <si>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</si>
  <si>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</si>
  <si>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</si>
  <si>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</si>
  <si>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</si>
  <si>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</si>
  <si>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</si>
  <si>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</si>
  <si>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</si>
  <si>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</si>
  <si>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</si>
  <si>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</si>
  <si>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</si>
  <si>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</si>
  <si>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</si>
  <si>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</si>
  <si>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</si>
  <si>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</si>
  <si>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</si>
  <si>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</si>
  <si>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</si>
  <si>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</si>
  <si>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</si>
  <si>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</si>
  <si>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</si>
  <si>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</si>
  <si>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</si>
  <si>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</si>
  <si>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</si>
  <si>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</si>
  <si>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</si>
  <si>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</si>
  <si>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</si>
  <si>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</si>
  <si>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</si>
  <si>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Bill Category</t>
  </si>
  <si>
    <t>Age Category</t>
  </si>
  <si>
    <t>Bill Case</t>
  </si>
  <si>
    <t>Urgent  payment follow-up</t>
  </si>
  <si>
    <t>Priority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</si>
</sst>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P1" zoomScale="170" zoomScaleNormal="170" workbookViewId="0">
      <selection activeCell="S2" sqref="S2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23.44140625" customWidth="1"/>
    <col min="19" max="19" width="17.6640625" customWidth="1"/>
    <col min="20" max="20" width="31.5546875" customWidth="1"/>
    <col min="21" max="21" width="29.44140625" customWidth="1"/>
    <col min="22" max="22" width="11.77734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 t="s">
        <v>229</v>
      </c>
      <c r="S1" s="14" t="s">
        <v>230</v>
      </c>
      <c r="T1" s="14"/>
      <c r="U1" s="16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s="15" t="str">
        <f>IF(L2="PENDING","FOLLOW-UP","NO ACTION")</f>
        <v>NO ACTION</v>
      </c>
      <c r="O2" t="str">
        <f>IF(K2&gt;40000,"high value","normal bill")</f>
        <v>normal bill</v>
      </c>
      <c r="P2" t="str">
        <f>IF(C2&gt;60,"senior citizen", "non-senior")</f>
        <v>non-senior</v>
      </c>
      <c r="Q2" t="str">
        <f>IF(AND(K2&gt;40000,M2&gt;5),"high billing case","normal case")</f>
        <v>normal case</v>
      </c>
      <c r="R2" t="str">
        <f>IF(AND(L2="pending",K2&gt;30000),"urgent payment follow-up","no ation")</f>
        <v>no ation</v>
      </c>
      <c r="T2" t="str">
        <f>IF(NOT(L2="pending"),"payment completed,payment pending")</f>
        <v>payment completed,payment pending</v>
      </c>
      <c r="U2" t="str">
        <f>IF(K2&lt;15000,"low",IF(K2&lt;30000,"medium",IF(K2&lt;50000,"high","very high")))</f>
        <v>medium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5" si="0">IF(L3="PENDING","FOLLOW-UP","NO ACTION")</f>
        <v>NO ACTION</v>
      </c>
      <c r="O3" t="str">
        <f t="shared" ref="O3:O41" si="1">IF(K3&gt;40000,"high value","normal bill")</f>
        <v>high value</v>
      </c>
      <c r="P3" t="str">
        <f t="shared" ref="P3:P41" si="2">IF(C3&gt;60,"senior citizen", "non-senior")</f>
        <v>non-senior</v>
      </c>
      <c r="Q3" t="str">
        <f t="shared" ref="Q3:Q66" si="3">IF(AND(K3&gt;40000,M3&gt;5),"high billing case","normal case")</f>
        <v>high billing case</v>
      </c>
      <c r="R3" t="str">
        <f t="shared" ref="R3:R12" si="4">IF(AND(L3="pending",K3&gt;30000),"urgent payment follow-up","no ation")</f>
        <v>no ation</v>
      </c>
      <c r="T3" t="str">
        <f t="shared" ref="T3:T66" si="5">IF(NOT(L3="pending"),"payment completed,payment pending")</f>
        <v>payment completed,payment pending</v>
      </c>
      <c r="U3" t="str">
        <f t="shared" ref="U3:U14" si="6">IF(K3&lt;15000,"low",IF(K3&lt;30000,"medium",IF(K3&lt;50000,"high","very high")))</f>
        <v>high</v>
      </c>
      <c r="V3" t="str">
        <f>IF(AND(OR(E2="Cardiology",E2="Orthopedics"),K2&gt;30000),"management review","no review")</f>
        <v>no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non-senior</v>
      </c>
      <c r="Q4" t="str">
        <f t="shared" si="3"/>
        <v>normal case</v>
      </c>
      <c r="R4" t="str">
        <f t="shared" si="4"/>
        <v>no ation</v>
      </c>
      <c r="T4" t="str">
        <f t="shared" si="5"/>
        <v>payment completed,payment pending</v>
      </c>
      <c r="U4" t="str">
        <f t="shared" si="6"/>
        <v>low</v>
      </c>
      <c r="V4" t="str">
        <f t="shared" ref="V4:V66" si="7">IF(AND(OR(E3="Cardiology",E3="Orthopedics"),K3&gt;30000),"management review","no review")</f>
        <v>management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FOLLOW-UP</v>
      </c>
      <c r="O5" t="str">
        <f t="shared" si="1"/>
        <v>normal bill</v>
      </c>
      <c r="P5" t="str">
        <f t="shared" si="2"/>
        <v>non-senior</v>
      </c>
      <c r="Q5" t="str">
        <f t="shared" si="3"/>
        <v>normal case</v>
      </c>
      <c r="R5" t="str">
        <f t="shared" si="4"/>
        <v>no ation</v>
      </c>
      <c r="T5" t="b">
        <f t="shared" si="5"/>
        <v>0</v>
      </c>
      <c r="U5" t="str">
        <f t="shared" si="6"/>
        <v>medium</v>
      </c>
      <c r="V5" t="str">
        <f t="shared" si="7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ation</v>
      </c>
      <c r="T6" t="str">
        <f t="shared" si="5"/>
        <v>payment completed,payment pending</v>
      </c>
      <c r="U6" t="str">
        <f t="shared" si="6"/>
        <v>medium</v>
      </c>
      <c r="V6" t="str">
        <f t="shared" si="7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non-senior</v>
      </c>
      <c r="Q7" t="str">
        <f t="shared" si="3"/>
        <v>normal case</v>
      </c>
      <c r="R7" t="str">
        <f t="shared" si="4"/>
        <v>no ation</v>
      </c>
      <c r="T7" t="str">
        <f t="shared" si="5"/>
        <v>payment completed,payment pending</v>
      </c>
      <c r="U7" t="str">
        <f t="shared" si="6"/>
        <v>low</v>
      </c>
      <c r="V7" t="str">
        <f t="shared" si="7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FOLLOW-UP</v>
      </c>
      <c r="O8" t="str">
        <f t="shared" si="1"/>
        <v>high value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follow-up</v>
      </c>
      <c r="T8" t="b">
        <f t="shared" si="5"/>
        <v>0</v>
      </c>
      <c r="U8" t="str">
        <f t="shared" si="6"/>
        <v>very high</v>
      </c>
      <c r="V8" t="str">
        <f t="shared" si="7"/>
        <v>no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non-senior</v>
      </c>
      <c r="Q9" t="str">
        <f t="shared" si="3"/>
        <v>normal case</v>
      </c>
      <c r="R9" t="str">
        <f t="shared" si="4"/>
        <v>no ation</v>
      </c>
      <c r="T9" t="str">
        <f t="shared" si="5"/>
        <v>payment completed,payment pending</v>
      </c>
      <c r="U9" t="str">
        <f t="shared" si="6"/>
        <v>low</v>
      </c>
      <c r="V9" t="str">
        <f t="shared" si="7"/>
        <v>management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non-senior</v>
      </c>
      <c r="Q10" t="str">
        <f t="shared" si="3"/>
        <v>normal case</v>
      </c>
      <c r="R10" t="str">
        <f t="shared" si="4"/>
        <v>no ation</v>
      </c>
      <c r="T10" t="str">
        <f t="shared" si="5"/>
        <v>payment completed,payment pending</v>
      </c>
      <c r="U10" t="str">
        <f t="shared" si="6"/>
        <v>medium</v>
      </c>
      <c r="V10" t="str">
        <f t="shared" si="7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non-senior</v>
      </c>
      <c r="Q11" t="str">
        <f t="shared" si="3"/>
        <v>normal case</v>
      </c>
      <c r="R11" t="str">
        <f t="shared" si="4"/>
        <v>no ation</v>
      </c>
      <c r="T11" t="str">
        <f t="shared" si="5"/>
        <v>payment completed,payment pending</v>
      </c>
      <c r="U11" t="str">
        <f t="shared" si="6"/>
        <v>low</v>
      </c>
      <c r="V11" t="str">
        <f t="shared" si="7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ation</v>
      </c>
      <c r="T12" t="str">
        <f t="shared" si="5"/>
        <v>payment completed,payment pending</v>
      </c>
      <c r="U12" t="str">
        <f t="shared" si="6"/>
        <v>medium</v>
      </c>
      <c r="V12" t="str">
        <f t="shared" si="7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FOLLOW-UP</v>
      </c>
      <c r="O13" t="str">
        <f t="shared" si="1"/>
        <v>normal bill</v>
      </c>
      <c r="P13" t="str">
        <f t="shared" si="2"/>
        <v>non-senior</v>
      </c>
      <c r="Q13" t="str">
        <f t="shared" si="3"/>
        <v>normal case</v>
      </c>
      <c r="T13" t="b">
        <f t="shared" si="5"/>
        <v>0</v>
      </c>
      <c r="U13" t="str">
        <f t="shared" si="6"/>
        <v>high</v>
      </c>
      <c r="V13" t="str">
        <f t="shared" si="7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non-senior</v>
      </c>
      <c r="Q14" t="str">
        <f t="shared" si="3"/>
        <v>normal case</v>
      </c>
      <c r="T14" t="str">
        <f t="shared" si="5"/>
        <v>payment completed,payment pending</v>
      </c>
      <c r="U14" t="str">
        <f t="shared" si="6"/>
        <v>low</v>
      </c>
      <c r="V14" t="str">
        <f t="shared" si="7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non-senior</v>
      </c>
      <c r="Q15" t="str">
        <f t="shared" si="3"/>
        <v>normal case</v>
      </c>
      <c r="T15" t="str">
        <f t="shared" si="5"/>
        <v>payment completed,payment pending</v>
      </c>
      <c r="V15" t="str">
        <f t="shared" si="7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FOLLOW-UP</v>
      </c>
      <c r="O16" t="str">
        <f t="shared" si="1"/>
        <v>high value</v>
      </c>
      <c r="P16" t="str">
        <f t="shared" si="2"/>
        <v>senior citizen</v>
      </c>
      <c r="Q16" t="str">
        <f>IF(AND(K16&gt;40000,M16&gt;5),"high billing case","normal case")</f>
        <v>high billing case</v>
      </c>
      <c r="T16" t="b">
        <f t="shared" si="5"/>
        <v>0</v>
      </c>
      <c r="V16" t="str">
        <f t="shared" si="7"/>
        <v>no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non-senior</v>
      </c>
      <c r="Q17" t="str">
        <f t="shared" si="3"/>
        <v>normal case</v>
      </c>
      <c r="T17" t="str">
        <f t="shared" si="5"/>
        <v>payment completed,payment pending</v>
      </c>
      <c r="V17" t="str">
        <f t="shared" si="7"/>
        <v>management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non-senior</v>
      </c>
      <c r="Q18" t="str">
        <f t="shared" si="3"/>
        <v>normal case</v>
      </c>
      <c r="T18" t="str">
        <f t="shared" si="5"/>
        <v>payment completed,payment pending</v>
      </c>
      <c r="V18" t="str">
        <f t="shared" si="7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value</v>
      </c>
      <c r="P19" t="str">
        <f t="shared" si="2"/>
        <v>non-senior</v>
      </c>
      <c r="Q19" t="str">
        <f t="shared" si="3"/>
        <v>high billing case</v>
      </c>
      <c r="T19" t="str">
        <f t="shared" si="5"/>
        <v>payment completed,payment pending</v>
      </c>
      <c r="V19" t="str">
        <f t="shared" si="7"/>
        <v>no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FOLLOW-UP</v>
      </c>
      <c r="O20" t="str">
        <f t="shared" si="1"/>
        <v>normal bill</v>
      </c>
      <c r="P20" t="str">
        <f t="shared" si="2"/>
        <v>non-senior</v>
      </c>
      <c r="Q20" t="str">
        <f t="shared" si="3"/>
        <v>normal case</v>
      </c>
      <c r="T20" t="b">
        <f t="shared" si="5"/>
        <v>0</v>
      </c>
      <c r="V20" t="str">
        <f t="shared" si="7"/>
        <v>management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non-senior</v>
      </c>
      <c r="Q21" t="str">
        <f t="shared" si="3"/>
        <v>normal case</v>
      </c>
      <c r="T21" t="str">
        <f t="shared" si="5"/>
        <v>payment completed,payment pending</v>
      </c>
      <c r="V21" t="str">
        <f t="shared" si="7"/>
        <v>no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non-senior</v>
      </c>
      <c r="Q22" t="str">
        <f t="shared" si="3"/>
        <v>normal case</v>
      </c>
      <c r="T22" t="str">
        <f t="shared" si="5"/>
        <v>payment completed,payment pending</v>
      </c>
      <c r="V22" t="str">
        <f t="shared" si="7"/>
        <v>management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value</v>
      </c>
      <c r="P23" t="str">
        <f t="shared" si="2"/>
        <v>senior citizen</v>
      </c>
      <c r="Q23" t="str">
        <f t="shared" si="3"/>
        <v>high billing case</v>
      </c>
      <c r="T23" t="str">
        <f t="shared" si="5"/>
        <v>payment completed,payment pending</v>
      </c>
      <c r="V23" t="str">
        <f t="shared" si="7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non-senior</v>
      </c>
      <c r="Q24" t="str">
        <f t="shared" si="3"/>
        <v>normal case</v>
      </c>
      <c r="T24" t="str">
        <f t="shared" si="5"/>
        <v>payment completed,payment pending</v>
      </c>
      <c r="V24" t="str">
        <f t="shared" si="7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FOLLOW-UP</v>
      </c>
      <c r="O25" t="str">
        <f t="shared" si="1"/>
        <v>normal bill</v>
      </c>
      <c r="P25" t="str">
        <f t="shared" si="2"/>
        <v>non-senior</v>
      </c>
      <c r="Q25" t="str">
        <f t="shared" si="3"/>
        <v>normal case</v>
      </c>
      <c r="T25" t="b">
        <f t="shared" si="5"/>
        <v>0</v>
      </c>
      <c r="V25" t="str">
        <f t="shared" si="7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value</v>
      </c>
      <c r="P26" t="str">
        <f t="shared" si="2"/>
        <v>senior citizen</v>
      </c>
      <c r="Q26" t="str">
        <f t="shared" si="3"/>
        <v>high billing case</v>
      </c>
      <c r="T26" t="str">
        <f t="shared" si="5"/>
        <v>payment completed,payment pending</v>
      </c>
      <c r="V26" t="str">
        <f t="shared" si="7"/>
        <v>no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non-senior</v>
      </c>
      <c r="Q27" t="str">
        <f t="shared" si="3"/>
        <v>normal case</v>
      </c>
      <c r="T27" t="str">
        <f t="shared" si="5"/>
        <v>payment completed,payment pending</v>
      </c>
      <c r="V27" t="str">
        <f t="shared" si="7"/>
        <v>management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FOLLOW-UP</v>
      </c>
      <c r="O28" t="str">
        <f t="shared" si="1"/>
        <v>normal bill</v>
      </c>
      <c r="P28" t="str">
        <f t="shared" si="2"/>
        <v>non-senior</v>
      </c>
      <c r="Q28" t="str">
        <f t="shared" si="3"/>
        <v>normal case</v>
      </c>
      <c r="T28" t="b">
        <f t="shared" si="5"/>
        <v>0</v>
      </c>
      <c r="V28" t="str">
        <f t="shared" si="7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non-senior</v>
      </c>
      <c r="Q29" t="str">
        <f t="shared" si="3"/>
        <v>normal case</v>
      </c>
      <c r="T29" t="str">
        <f t="shared" si="5"/>
        <v>payment completed,payment pending</v>
      </c>
      <c r="V29" t="str">
        <f t="shared" si="7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non-senior</v>
      </c>
      <c r="Q30" t="str">
        <f t="shared" si="3"/>
        <v>normal case</v>
      </c>
      <c r="T30" t="str">
        <f t="shared" si="5"/>
        <v>payment completed,payment pending</v>
      </c>
      <c r="V30" t="str">
        <f t="shared" si="7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non-senior</v>
      </c>
      <c r="Q31" t="str">
        <f t="shared" si="3"/>
        <v>normal case</v>
      </c>
      <c r="T31" t="str">
        <f t="shared" si="5"/>
        <v>payment completed,payment pending</v>
      </c>
      <c r="V31" t="str">
        <f t="shared" si="7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non-senior</v>
      </c>
      <c r="Q32" t="str">
        <f t="shared" si="3"/>
        <v>normal case</v>
      </c>
      <c r="T32" t="str">
        <f t="shared" si="5"/>
        <v>payment completed,payment pending</v>
      </c>
      <c r="V32" t="str">
        <f t="shared" si="7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FOLLOW-UP</v>
      </c>
      <c r="O33" t="str">
        <f t="shared" si="1"/>
        <v>high value</v>
      </c>
      <c r="P33" t="str">
        <f t="shared" si="2"/>
        <v>senior citizen</v>
      </c>
      <c r="Q33" t="str">
        <f t="shared" si="3"/>
        <v>high billing case</v>
      </c>
      <c r="T33" t="b">
        <f t="shared" si="5"/>
        <v>0</v>
      </c>
      <c r="V33" t="str">
        <f t="shared" si="7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value</v>
      </c>
      <c r="P34" t="str">
        <f t="shared" si="2"/>
        <v>non-senior</v>
      </c>
      <c r="Q34" t="str">
        <f t="shared" si="3"/>
        <v>high billing case</v>
      </c>
      <c r="T34" t="str">
        <f t="shared" si="5"/>
        <v>payment completed,payment pending</v>
      </c>
      <c r="V34" t="str">
        <f t="shared" si="7"/>
        <v>no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non-senior</v>
      </c>
      <c r="Q35" t="str">
        <f t="shared" si="3"/>
        <v>normal case</v>
      </c>
      <c r="T35" t="str">
        <f t="shared" si="5"/>
        <v>payment completed,payment pending</v>
      </c>
      <c r="V35" t="str">
        <f t="shared" si="7"/>
        <v>management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FOLLOW-UP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T36" t="b">
        <f t="shared" si="5"/>
        <v>0</v>
      </c>
      <c r="V36" t="str">
        <f t="shared" si="7"/>
        <v>no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non-senior</v>
      </c>
      <c r="Q37" t="str">
        <f t="shared" si="3"/>
        <v>normal case</v>
      </c>
      <c r="T37" t="str">
        <f t="shared" si="5"/>
        <v>payment completed,payment pending</v>
      </c>
      <c r="V37" t="str">
        <f t="shared" si="7"/>
        <v>management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non-senior</v>
      </c>
      <c r="Q38" t="str">
        <f t="shared" si="3"/>
        <v>normal case</v>
      </c>
      <c r="T38" t="str">
        <f t="shared" si="5"/>
        <v>payment completed,payment pending</v>
      </c>
      <c r="V38" t="str">
        <f t="shared" si="7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non-senior</v>
      </c>
      <c r="Q39" t="str">
        <f t="shared" si="3"/>
        <v>normal case</v>
      </c>
      <c r="T39" t="str">
        <f t="shared" si="5"/>
        <v>payment completed,payment pending</v>
      </c>
      <c r="V39" t="str">
        <f t="shared" si="7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FOLLOW-UP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T40" t="b">
        <f t="shared" si="5"/>
        <v>0</v>
      </c>
      <c r="V40" t="str">
        <f t="shared" si="7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value</v>
      </c>
      <c r="P41" t="str">
        <f t="shared" si="2"/>
        <v>non-senior</v>
      </c>
      <c r="Q41" t="str">
        <f t="shared" si="3"/>
        <v>high billing case</v>
      </c>
      <c r="T41" t="str">
        <f t="shared" si="5"/>
        <v>payment completed,payment pending</v>
      </c>
      <c r="V41" t="str">
        <f t="shared" si="7"/>
        <v>no review</v>
      </c>
    </row>
    <row r="42" spans="1:22">
      <c r="Q42" t="str">
        <f t="shared" si="3"/>
        <v>normal case</v>
      </c>
      <c r="T42" t="str">
        <f t="shared" si="5"/>
        <v>payment completed,payment pending</v>
      </c>
      <c r="V42" t="str">
        <f t="shared" si="7"/>
        <v>management review</v>
      </c>
    </row>
    <row r="43" spans="1:22">
      <c r="H43">
        <f>SUMIF(Department,"Opthomology",Bills)</f>
        <v>0</v>
      </c>
      <c r="Q43" t="str">
        <f t="shared" si="3"/>
        <v>normal case</v>
      </c>
      <c r="T43" t="str">
        <f t="shared" si="5"/>
        <v>payment completed,payment pending</v>
      </c>
      <c r="V43" t="str">
        <f t="shared" si="7"/>
        <v>no review</v>
      </c>
    </row>
    <row r="44" spans="1:22">
      <c r="Q44" t="str">
        <f t="shared" si="3"/>
        <v>normal case</v>
      </c>
      <c r="T44" t="str">
        <f t="shared" si="5"/>
        <v>payment completed,payment pending</v>
      </c>
      <c r="V44" t="str">
        <f t="shared" si="7"/>
        <v>no review</v>
      </c>
    </row>
    <row r="45" spans="1:22">
      <c r="Q45" t="str">
        <f t="shared" si="3"/>
        <v>normal case</v>
      </c>
      <c r="T45" t="str">
        <f t="shared" si="5"/>
        <v>payment completed,payment pending</v>
      </c>
      <c r="V45" t="str">
        <f t="shared" si="7"/>
        <v>no review</v>
      </c>
    </row>
    <row r="46" spans="1:22">
      <c r="Q46" t="str">
        <f t="shared" si="3"/>
        <v>normal case</v>
      </c>
      <c r="T46" t="str">
        <f t="shared" si="5"/>
        <v>payment completed,payment pending</v>
      </c>
      <c r="V46" t="str">
        <f t="shared" si="7"/>
        <v>no review</v>
      </c>
    </row>
    <row r="47" spans="1:22">
      <c r="E47" t="s">
        <v>123</v>
      </c>
      <c r="H47">
        <f>SUM(Bills)</f>
        <v>1019500</v>
      </c>
      <c r="Q47" t="str">
        <f t="shared" si="3"/>
        <v>normal case</v>
      </c>
      <c r="T47" t="str">
        <f t="shared" si="5"/>
        <v>payment completed,payment pending</v>
      </c>
      <c r="V47" t="str">
        <f t="shared" si="7"/>
        <v>no review</v>
      </c>
    </row>
    <row r="48" spans="1:22">
      <c r="E48" t="s">
        <v>138</v>
      </c>
      <c r="H48">
        <f>SUMIF(Department,"Cardiology",Bills)</f>
        <v>443500</v>
      </c>
      <c r="I48">
        <f>SUMIF(Department,E30,Bills)</f>
        <v>89500</v>
      </c>
      <c r="Q48" t="str">
        <f t="shared" si="3"/>
        <v>normal case</v>
      </c>
      <c r="T48" t="str">
        <f t="shared" si="5"/>
        <v>payment completed,payment pending</v>
      </c>
      <c r="V48" t="str">
        <f t="shared" si="7"/>
        <v>no review</v>
      </c>
    </row>
    <row r="49" spans="5:22">
      <c r="E49" t="s">
        <v>139</v>
      </c>
      <c r="H49">
        <f>COUNTIF(Department,E35)</f>
        <v>7</v>
      </c>
      <c r="I49">
        <f>COUNTIF(Department,E39)</f>
        <v>7</v>
      </c>
      <c r="J49">
        <f>COUNTIF(Gender,D38)</f>
        <v>20</v>
      </c>
      <c r="Q49" t="str">
        <f t="shared" si="3"/>
        <v>normal case</v>
      </c>
      <c r="T49" t="str">
        <f t="shared" si="5"/>
        <v>payment completed,payment pending</v>
      </c>
      <c r="V49" t="str">
        <f t="shared" si="7"/>
        <v>no review</v>
      </c>
    </row>
    <row r="50" spans="5:22">
      <c r="E50" t="s">
        <v>140</v>
      </c>
      <c r="H50">
        <f>AVERAGEIF(Department,E39,Bills)</f>
        <v>25571.428571428572</v>
      </c>
      <c r="Q50" t="str">
        <f t="shared" si="3"/>
        <v>normal case</v>
      </c>
      <c r="T50" t="str">
        <f t="shared" si="5"/>
        <v>payment completed,payment pending</v>
      </c>
      <c r="V50" t="str">
        <f t="shared" si="7"/>
        <v>no review</v>
      </c>
    </row>
    <row r="51" spans="5:22">
      <c r="E51" t="s">
        <v>124</v>
      </c>
      <c r="H51">
        <f>SUMIF(J2:J41,J22,Bills)</f>
        <v>499500</v>
      </c>
      <c r="Q51" t="str">
        <f t="shared" si="3"/>
        <v>normal case</v>
      </c>
      <c r="T51" t="str">
        <f t="shared" si="5"/>
        <v>payment completed,payment pending</v>
      </c>
      <c r="V51" t="str">
        <f t="shared" si="7"/>
        <v>no review</v>
      </c>
    </row>
    <row r="52" spans="5:22">
      <c r="E52" t="s">
        <v>125</v>
      </c>
      <c r="H52">
        <f>COUNTIF(L2:L41,L25)</f>
        <v>10</v>
      </c>
      <c r="Q52" t="str">
        <f t="shared" si="3"/>
        <v>normal case</v>
      </c>
      <c r="T52" t="str">
        <f t="shared" si="5"/>
        <v>payment completed,payment pending</v>
      </c>
      <c r="V52" t="str">
        <f t="shared" si="7"/>
        <v>no review</v>
      </c>
    </row>
    <row r="53" spans="5:22">
      <c r="E53" t="s">
        <v>126</v>
      </c>
      <c r="Q53" t="str">
        <f t="shared" si="3"/>
        <v>normal case</v>
      </c>
      <c r="T53" t="str">
        <f t="shared" si="5"/>
        <v>payment completed,payment pending</v>
      </c>
      <c r="V53" t="str">
        <f t="shared" si="7"/>
        <v>no review</v>
      </c>
    </row>
    <row r="54" spans="5:22">
      <c r="E54" t="s">
        <v>127</v>
      </c>
      <c r="H54">
        <f>SUMIFS(Bills,Department,E41,J2:J41,J25)</f>
        <v>275500</v>
      </c>
      <c r="Q54" t="str">
        <f t="shared" si="3"/>
        <v>normal case</v>
      </c>
      <c r="T54" t="str">
        <f t="shared" si="5"/>
        <v>payment completed,payment pending</v>
      </c>
      <c r="V54" t="str">
        <f t="shared" si="7"/>
        <v>no review</v>
      </c>
    </row>
    <row r="55" spans="5:22">
      <c r="E55" t="s">
        <v>128</v>
      </c>
      <c r="H55">
        <f>COUNTIFS(Department,E41,L2:L41,L28)</f>
        <v>4</v>
      </c>
      <c r="Q55" t="str">
        <f t="shared" si="3"/>
        <v>normal case</v>
      </c>
      <c r="T55" t="str">
        <f t="shared" si="5"/>
        <v>payment completed,payment pending</v>
      </c>
      <c r="V55" t="str">
        <f t="shared" si="7"/>
        <v>no review</v>
      </c>
    </row>
    <row r="56" spans="5:22">
      <c r="E56" t="s">
        <v>129</v>
      </c>
      <c r="Q56" t="str">
        <f t="shared" si="3"/>
        <v>normal case</v>
      </c>
      <c r="T56" t="str">
        <f t="shared" si="5"/>
        <v>payment completed,payment pending</v>
      </c>
      <c r="V56" t="str">
        <f t="shared" si="7"/>
        <v>no review</v>
      </c>
    </row>
    <row r="57" spans="5:22">
      <c r="E57" t="s">
        <v>130</v>
      </c>
      <c r="H57">
        <f>COUNTIF(Bills,"&gt;40000")</f>
        <v>9</v>
      </c>
      <c r="Q57" t="str">
        <f t="shared" si="3"/>
        <v>normal case</v>
      </c>
      <c r="T57" t="str">
        <f t="shared" si="5"/>
        <v>payment completed,payment pending</v>
      </c>
      <c r="V57" t="str">
        <f t="shared" si="7"/>
        <v>no review</v>
      </c>
    </row>
    <row r="58" spans="5:22">
      <c r="E58" t="s">
        <v>131</v>
      </c>
      <c r="H58">
        <f>SUMIF(Bills,"&gt;40000",Bills)</f>
        <v>508000</v>
      </c>
      <c r="Q58" t="str">
        <f t="shared" si="3"/>
        <v>normal case</v>
      </c>
      <c r="T58" t="str">
        <f t="shared" si="5"/>
        <v>payment completed,payment pending</v>
      </c>
      <c r="V58" t="str">
        <f t="shared" si="7"/>
        <v>no review</v>
      </c>
    </row>
    <row r="59" spans="5:22">
      <c r="E59" t="s">
        <v>132</v>
      </c>
      <c r="Q59" t="str">
        <f t="shared" si="3"/>
        <v>normal case</v>
      </c>
      <c r="T59" t="str">
        <f t="shared" si="5"/>
        <v>payment completed,payment pending</v>
      </c>
      <c r="V59" t="str">
        <f t="shared" si="7"/>
        <v>no review</v>
      </c>
    </row>
    <row r="60" spans="5:22">
      <c r="E60" t="s">
        <v>133</v>
      </c>
      <c r="H60">
        <f>SUMIF(Stay,"&gt;5",Bills)</f>
        <v>582000</v>
      </c>
      <c r="Q60" t="str">
        <f t="shared" si="3"/>
        <v>normal case</v>
      </c>
      <c r="T60" t="str">
        <f t="shared" si="5"/>
        <v>payment completed,payment pending</v>
      </c>
      <c r="V60" t="str">
        <f t="shared" si="7"/>
        <v>no review</v>
      </c>
    </row>
    <row r="61" spans="5:22">
      <c r="E61" t="s">
        <v>134</v>
      </c>
      <c r="H61">
        <f>SUMIFS(Bills,Department,E41,Stay,"&gt;5")</f>
        <v>320000</v>
      </c>
      <c r="Q61" t="str">
        <f t="shared" si="3"/>
        <v>normal case</v>
      </c>
      <c r="T61" t="str">
        <f t="shared" si="5"/>
        <v>payment completed,payment pending</v>
      </c>
      <c r="V61" t="str">
        <f t="shared" si="7"/>
        <v>no review</v>
      </c>
    </row>
    <row r="62" spans="5:22">
      <c r="E62" t="s">
        <v>135</v>
      </c>
      <c r="Q62" t="str">
        <f t="shared" si="3"/>
        <v>normal case</v>
      </c>
      <c r="T62" t="str">
        <f t="shared" si="5"/>
        <v>payment completed,payment pending</v>
      </c>
      <c r="V62" t="str">
        <f t="shared" si="7"/>
        <v>no review</v>
      </c>
    </row>
    <row r="63" spans="5:22">
      <c r="E63" t="s">
        <v>136</v>
      </c>
      <c r="H63">
        <f>_xlfn.MAXIFS(Bills,Department,E41)</f>
        <v>76000</v>
      </c>
      <c r="Q63" t="str">
        <f t="shared" si="3"/>
        <v>normal case</v>
      </c>
      <c r="T63" t="str">
        <f t="shared" si="5"/>
        <v>payment completed,payment pending</v>
      </c>
      <c r="V63" t="str">
        <f t="shared" si="7"/>
        <v>no review</v>
      </c>
    </row>
    <row r="64" spans="5:22">
      <c r="E64" t="s">
        <v>137</v>
      </c>
      <c r="Q64" t="str">
        <f t="shared" si="3"/>
        <v>normal case</v>
      </c>
      <c r="T64" t="str">
        <f t="shared" si="5"/>
        <v>payment completed,payment pending</v>
      </c>
      <c r="V64" t="str">
        <f t="shared" si="7"/>
        <v>no review</v>
      </c>
    </row>
    <row r="65" spans="5:22">
      <c r="E65" t="s">
        <v>141</v>
      </c>
      <c r="Q65" t="str">
        <f t="shared" si="3"/>
        <v>normal case</v>
      </c>
      <c r="T65" t="str">
        <f t="shared" si="5"/>
        <v>payment completed,payment pending</v>
      </c>
      <c r="V65" t="str">
        <f t="shared" si="7"/>
        <v>no review</v>
      </c>
    </row>
    <row r="66" spans="5:22">
      <c r="E66" t="s">
        <v>142</v>
      </c>
      <c r="Q66" t="str">
        <f t="shared" si="3"/>
        <v>normal case</v>
      </c>
      <c r="T66" t="str">
        <f t="shared" si="5"/>
        <v>payment completed,payment pending</v>
      </c>
      <c r="V66" t="str">
        <f t="shared" si="7"/>
        <v>no review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10" zoomScale="102" zoomScaleNormal="102" workbookViewId="0">
      <selection activeCell="B35" sqref="B35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LENOVO</cp:lastModifiedBy>
  <dcterms:created xsi:type="dcterms:W3CDTF">2026-09-09T05:55:57Z</dcterms:created>
  <dcterms:modified xsi:type="dcterms:W3CDTF">2026-10-28T12:26:20Z</dcterms:modified>
</cp:coreProperties>
</file>